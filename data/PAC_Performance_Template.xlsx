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masum.gazi\Downloads\"/>
    </mc:Choice>
  </mc:AlternateContent>
  <xr:revisionPtr revIDLastSave="0" documentId="13_ncr:1_{A4FF5E77-D2BA-4A50-BC9E-0D846959E11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Closures Summary" sheetId="1" r:id="rId1"/>
    <sheet name="Candidate Closures" sheetId="2" r:id="rId2"/>
    <sheet name="Onboarding Impact" sheetId="3" r:id="rId3"/>
    <sheet name="Learning Hours" sheetId="4" r:id="rId4"/>
    <sheet name="Behavioral Contribution" sheetId="5" r:id="rId5"/>
    <sheet name="Leaves" sheetId="6" r:id="rId6"/>
  </sheets>
  <definedNames>
    <definedName name="_xlnm._FilterDatabase" localSheetId="1" hidden="1">'Candidate Closures'!$A$1:$E$1</definedName>
  </definedNames>
  <calcPr calcId="191029"/>
</workbook>
</file>

<file path=xl/calcChain.xml><?xml version="1.0" encoding="utf-8"?>
<calcChain xmlns="http://schemas.openxmlformats.org/spreadsheetml/2006/main">
  <c r="H1" i="4" l="1"/>
  <c r="C17" i="6"/>
  <c r="B17" i="6"/>
  <c r="C9" i="6"/>
  <c r="B9" i="6"/>
  <c r="C11" i="4" l="1"/>
</calcChain>
</file>

<file path=xl/sharedStrings.xml><?xml version="1.0" encoding="utf-8"?>
<sst xmlns="http://schemas.openxmlformats.org/spreadsheetml/2006/main" count="128" uniqueCount="109">
  <si>
    <t>Recruitment Closures Summary</t>
  </si>
  <si>
    <t>Metric</t>
  </si>
  <si>
    <t>Details</t>
  </si>
  <si>
    <t>Profiles Submitted</t>
  </si>
  <si>
    <t>Interviews Scheduled</t>
  </si>
  <si>
    <t>Offers Released</t>
  </si>
  <si>
    <t>Total Closures (Till Date)</t>
  </si>
  <si>
    <t>Average Closure Time</t>
  </si>
  <si>
    <t>Key Technologies Closed</t>
  </si>
  <si>
    <t>Candidate Name</t>
  </si>
  <si>
    <t>Role</t>
  </si>
  <si>
    <t>Client</t>
  </si>
  <si>
    <t>Location</t>
  </si>
  <si>
    <t>Joining Date</t>
  </si>
  <si>
    <t>Onboarding &amp; Delivery Impact</t>
  </si>
  <si>
    <t>Count</t>
  </si>
  <si>
    <t>Candidates Joined</t>
  </si>
  <si>
    <t>Offer Drop Cases</t>
  </si>
  <si>
    <t>Candidates Managed in Notice Period</t>
  </si>
  <si>
    <t>Successful Onboarding Coordination</t>
  </si>
  <si>
    <t>Replacement Closures</t>
  </si>
  <si>
    <t>Learning &amp; Development Hours</t>
  </si>
  <si>
    <t>Learning Area</t>
  </si>
  <si>
    <t>Platform / Source</t>
  </si>
  <si>
    <t>Hours</t>
  </si>
  <si>
    <t>Behavioral &amp; Operational Contribution</t>
  </si>
  <si>
    <t>Area</t>
  </si>
  <si>
    <t>Contribution</t>
  </si>
  <si>
    <t>Team Collaboration</t>
  </si>
  <si>
    <t>Process Discipline</t>
  </si>
  <si>
    <t>Client Communication</t>
  </si>
  <si>
    <t>Ownership</t>
  </si>
  <si>
    <t>Professional Conduct</t>
  </si>
  <si>
    <t>450+</t>
  </si>
  <si>
    <t>50+</t>
  </si>
  <si>
    <t>15 days</t>
  </si>
  <si>
    <t>SAP SD, SAP C4C, JAVA + QA, AZURE Cloud, HR Assistant</t>
  </si>
  <si>
    <t>Alan Pinto</t>
  </si>
  <si>
    <t>Shivappa Tekalejattenaik</t>
  </si>
  <si>
    <t>Manoj Rangashamaiah</t>
  </si>
  <si>
    <t>Sahare Ratnabodhi</t>
  </si>
  <si>
    <t>VMO Project Support</t>
  </si>
  <si>
    <t>SAP SD Invoicing Architect</t>
  </si>
  <si>
    <t>SAP CRM / C4C</t>
  </si>
  <si>
    <t>E2E Quality Assurance</t>
  </si>
  <si>
    <t>Infra (Azure cloud) Engineer</t>
  </si>
  <si>
    <t>Lupin</t>
  </si>
  <si>
    <t>Hitachi</t>
  </si>
  <si>
    <t>Amazon</t>
  </si>
  <si>
    <t>Airoli</t>
  </si>
  <si>
    <t>Bangalore</t>
  </si>
  <si>
    <t>Hyderabad</t>
  </si>
  <si>
    <t>AI &amp; Digital Skills (ChatGPT, Gamma, AI Excel Micro Learning)</t>
  </si>
  <si>
    <t>Digital First Learning Programs</t>
  </si>
  <si>
    <t>Leadership &amp; Management Development (Emotional Intelligence, Peak Performing Teams, Performance Management)</t>
  </si>
  <si>
    <t>Internal Leadership Training</t>
  </si>
  <si>
    <t>Communication &amp; Workplace Skills (Business Communication, Presentation Skills, Assertiveness)</t>
  </si>
  <si>
    <t>Corporate Learning Platform</t>
  </si>
  <si>
    <t>Strategy &amp; Problem Solving (Understanding Strategy, Problem Solving for Leaders)</t>
  </si>
  <si>
    <t>Internal Learning Portal</t>
  </si>
  <si>
    <t>Workplace Effectiveness (Time Management, Workplace Collaboration, Customer Handling)</t>
  </si>
  <si>
    <t>Internal L&amp;D Programs</t>
  </si>
  <si>
    <t>Compliance &amp; Corporate Programs (POSH, Compliance Exercise, Integrity Week)</t>
  </si>
  <si>
    <t>Corporate Compliance Training</t>
  </si>
  <si>
    <t>Organizational Programs (Manager Week, Career Week, Induction, Customer Appreciation Week)</t>
  </si>
  <si>
    <t>Corporate Events / Training</t>
  </si>
  <si>
    <t>TOTAL HOURS</t>
  </si>
  <si>
    <t>• Collaborated with team members in sourcing and sharing suitable candidate profiles.
• Supported interview coordination and ensured smooth communication between candidates and hiring managers.
• Shared market insights and candidate availability updates with the team.</t>
  </si>
  <si>
    <t>• Maintained accurate recruitment trackers and candidate records.
• Ensured timely updates on submissions, interviews, and candidate status.
• Followed recruitment processes and documentation standards consistently.</t>
  </si>
  <si>
    <t>Provided regular updates on candidate pipeline and interview progress.
• Coordinated with hiring managers for interview scheduling and feedback.
• Maintained clear and professional communication with internal stakeholders.</t>
  </si>
  <si>
    <t>• Managed assigned requirements from sourcing to interview coordination.
• Ensured continuous follow-up with candidates during the hiring process.
• Took responsibility for maintaining candidate engagement and pipeline readiness.</t>
  </si>
  <si>
    <t>• Maintained professional and respectful communication with candidates and team members.
• Handled recruitment activities with accountability and integrity.
• Demonstrated a positive and solution-oriented approach in daily operations</t>
  </si>
  <si>
    <t xml:space="preserve">Bukya Santhosh </t>
  </si>
  <si>
    <t>Neelufar A</t>
  </si>
  <si>
    <t>HR Assistant</t>
  </si>
  <si>
    <t>Leaves</t>
  </si>
  <si>
    <t>Leave Type</t>
  </si>
  <si>
    <t>Unlimited Vacation Leave</t>
  </si>
  <si>
    <t>Casual Leave</t>
  </si>
  <si>
    <t>Sick Leave</t>
  </si>
  <si>
    <t>Wellness Leave</t>
  </si>
  <si>
    <t>Happiness Leave</t>
  </si>
  <si>
    <t>Total Leave Days (2025)</t>
  </si>
  <si>
    <t>Total Leaves provided by org</t>
  </si>
  <si>
    <t>Total Days Leaves Taken</t>
  </si>
  <si>
    <t>Course / Skill</t>
  </si>
  <si>
    <t>Status</t>
  </si>
  <si>
    <t>Programming</t>
  </si>
  <si>
    <t>Database</t>
  </si>
  <si>
    <t>Master Python Programming</t>
  </si>
  <si>
    <t>My SQL for data Analysis</t>
  </si>
  <si>
    <t>90% Completed</t>
  </si>
  <si>
    <t>80% Completed</t>
  </si>
  <si>
    <t>Certification</t>
  </si>
  <si>
    <t>Platform</t>
  </si>
  <si>
    <t>Issued</t>
  </si>
  <si>
    <t>Focus Area</t>
  </si>
  <si>
    <t>AI-Driven Recruiting – LinkedIn Recruiter Power User Assessment</t>
  </si>
  <si>
    <t>LinkedIn</t>
  </si>
  <si>
    <t>AI in Talent Sourcing &amp; Recruiting Automation</t>
  </si>
  <si>
    <t>Hiring Product Updates: Achieve Talent Success with AI-Driven Discover, Connect and Attract Features</t>
  </si>
  <si>
    <t>LinkedIn Recruiter Tools &amp; Hiring Strategy</t>
  </si>
  <si>
    <t>Develop Critical Skills Assessment</t>
  </si>
  <si>
    <t>Professional Skill Development</t>
  </si>
  <si>
    <t>Hours Completed</t>
  </si>
  <si>
    <t>15 hours</t>
  </si>
  <si>
    <t>12 Hours</t>
  </si>
  <si>
    <t>Total Hours - Self Learning</t>
  </si>
  <si>
    <t>Organization Mandated + Self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</si>
</sst>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5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/>
    <xf numFmtId="0" fontId="3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17" fontId="0" fillId="0" borderId="2" xfId="0" applyNumberForma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8" sqref="A18"/>
    </sheetView>
  </sheetViews>
  <sheetFormatPr defaultRowHeight="14.5" x14ac:dyDescent="0.35"/>
  <cols>
    <col min="1" max="1" width="30" customWidth="1"/>
    <col min="2" max="2" width="47.26953125" bestFit="1" customWidth="1"/>
  </cols>
  <sheetData>
    <row r="1" spans="1:2" ht="18.5" x14ac:dyDescent="0.45">
      <c r="A1" s="1" t="s">
        <v>0</v>
      </c>
    </row>
    <row r="3" spans="1:2" ht="15.5" x14ac:dyDescent="0.35">
      <c r="A3" s="4" t="s">
        <v>1</v>
      </c>
      <c r="B3" s="4" t="s">
        <v>2</v>
      </c>
    </row>
    <row r="4" spans="1:2" x14ac:dyDescent="0.35">
      <c r="A4" s="5" t="s">
        <v>3</v>
      </c>
      <c r="B4" s="5" t="s">
        <v>33</v>
      </c>
    </row>
    <row r="5" spans="1:2" x14ac:dyDescent="0.35">
      <c r="A5" s="5" t="s">
        <v>4</v>
      </c>
      <c r="B5" s="5" t="s">
        <v>34</v>
      </c>
    </row>
    <row r="6" spans="1:2" x14ac:dyDescent="0.35">
      <c r="A6" s="5" t="s">
        <v>5</v>
      </c>
      <c r="B6" s="5">
        <v>6</v>
      </c>
    </row>
    <row r="7" spans="1:2" x14ac:dyDescent="0.35">
      <c r="A7" s="5" t="s">
        <v>6</v>
      </c>
      <c r="B7" s="5">
        <v>6</v>
      </c>
    </row>
    <row r="8" spans="1:2" x14ac:dyDescent="0.35">
      <c r="A8" s="5" t="s">
        <v>7</v>
      </c>
      <c r="B8" s="5" t="s">
        <v>35</v>
      </c>
    </row>
    <row r="9" spans="1:2" x14ac:dyDescent="0.35">
      <c r="A9" s="5" t="s">
        <v>8</v>
      </c>
      <c r="B9" s="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sqref="A1:E7"/>
    </sheetView>
  </sheetViews>
  <sheetFormatPr defaultRowHeight="14.5" x14ac:dyDescent="0.35"/>
  <cols>
    <col min="1" max="1" width="23.7265625" bestFit="1" customWidth="1"/>
    <col min="2" max="2" width="31.36328125" bestFit="1" customWidth="1"/>
    <col min="3" max="3" width="8.08984375" bestFit="1" customWidth="1"/>
    <col min="4" max="4" width="10.7265625" bestFit="1" customWidth="1"/>
    <col min="5" max="5" width="11.90625" bestFit="1" customWidth="1"/>
  </cols>
  <sheetData>
    <row r="1" spans="1:5" ht="15.5" x14ac:dyDescent="0.3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t="15.5" x14ac:dyDescent="0.35">
      <c r="A2" s="8" t="s">
        <v>37</v>
      </c>
      <c r="B2" s="8" t="s">
        <v>41</v>
      </c>
      <c r="C2" s="8" t="s">
        <v>46</v>
      </c>
      <c r="D2" s="8" t="s">
        <v>49</v>
      </c>
      <c r="E2" s="13">
        <v>45852</v>
      </c>
    </row>
    <row r="3" spans="1:5" ht="15.5" x14ac:dyDescent="0.35">
      <c r="A3" s="6" t="s">
        <v>38</v>
      </c>
      <c r="B3" s="6" t="s">
        <v>42</v>
      </c>
      <c r="C3" s="7" t="s">
        <v>47</v>
      </c>
      <c r="D3" s="6" t="s">
        <v>50</v>
      </c>
      <c r="E3" s="13">
        <v>45882</v>
      </c>
    </row>
    <row r="4" spans="1:5" ht="15.5" x14ac:dyDescent="0.35">
      <c r="A4" s="6" t="s">
        <v>39</v>
      </c>
      <c r="B4" s="6" t="s">
        <v>43</v>
      </c>
      <c r="C4" s="7" t="s">
        <v>47</v>
      </c>
      <c r="D4" s="6" t="s">
        <v>50</v>
      </c>
      <c r="E4" s="13">
        <v>45883</v>
      </c>
    </row>
    <row r="5" spans="1:5" ht="15.5" x14ac:dyDescent="0.35">
      <c r="A5" s="6" t="s">
        <v>73</v>
      </c>
      <c r="B5" s="6" t="s">
        <v>74</v>
      </c>
      <c r="C5" s="6" t="s">
        <v>48</v>
      </c>
      <c r="D5" s="6" t="s">
        <v>50</v>
      </c>
      <c r="E5" s="13">
        <v>46013</v>
      </c>
    </row>
    <row r="6" spans="1:5" ht="15.5" x14ac:dyDescent="0.35">
      <c r="A6" s="6" t="s">
        <v>72</v>
      </c>
      <c r="B6" s="6" t="s">
        <v>45</v>
      </c>
      <c r="C6" s="6" t="s">
        <v>47</v>
      </c>
      <c r="D6" s="14" t="s">
        <v>51</v>
      </c>
      <c r="E6" s="13">
        <v>46086</v>
      </c>
    </row>
    <row r="7" spans="1:5" ht="15.5" x14ac:dyDescent="0.35">
      <c r="A7" s="6" t="s">
        <v>40</v>
      </c>
      <c r="B7" s="6" t="s">
        <v>44</v>
      </c>
      <c r="C7" s="6" t="s">
        <v>48</v>
      </c>
      <c r="D7" s="15" t="s">
        <v>50</v>
      </c>
      <c r="E7" s="13">
        <v>46091</v>
      </c>
    </row>
    <row r="8" spans="1:5" x14ac:dyDescent="0.35">
      <c r="A8" s="3"/>
      <c r="B8" s="3"/>
      <c r="C8" s="3"/>
      <c r="D8" s="3"/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3"/>
      <c r="B10" s="3"/>
      <c r="C10" s="3"/>
      <c r="D10" s="3"/>
      <c r="E10" s="3"/>
    </row>
    <row r="11" spans="1:5" x14ac:dyDescent="0.35">
      <c r="A11" s="3"/>
      <c r="B11" s="3"/>
      <c r="C11" s="3"/>
      <c r="D11" s="3"/>
      <c r="E11" s="3"/>
    </row>
    <row r="12" spans="1:5" x14ac:dyDescent="0.35">
      <c r="A12" s="3"/>
      <c r="B12" s="3"/>
      <c r="C12" s="3"/>
      <c r="D12" s="3"/>
      <c r="E12" s="3"/>
    </row>
    <row r="13" spans="1:5" x14ac:dyDescent="0.35">
      <c r="A13" s="3"/>
      <c r="B13" s="3"/>
      <c r="C13" s="3"/>
      <c r="D13" s="3"/>
      <c r="E13" s="3"/>
    </row>
    <row r="14" spans="1:5" x14ac:dyDescent="0.35">
      <c r="A14" s="3"/>
      <c r="B14" s="3"/>
      <c r="C14" s="3"/>
      <c r="D14" s="3"/>
      <c r="E14" s="3"/>
    </row>
    <row r="15" spans="1:5" x14ac:dyDescent="0.35">
      <c r="A15" s="3"/>
      <c r="B15" s="3"/>
      <c r="C15" s="3"/>
      <c r="D15" s="3"/>
      <c r="E15" s="3"/>
    </row>
    <row r="16" spans="1:5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  <row r="24" spans="1:5" x14ac:dyDescent="0.35">
      <c r="A24" s="3"/>
      <c r="B24" s="3"/>
      <c r="C24" s="3"/>
      <c r="D24" s="3"/>
      <c r="E24" s="3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3" sqref="A1:XFD1048576"/>
    </sheetView>
  </sheetViews>
  <sheetFormatPr defaultRowHeight="14.5" x14ac:dyDescent="0.35"/>
  <cols>
    <col min="1" max="1" width="35" customWidth="1"/>
    <col min="2" max="2" width="20" customWidth="1"/>
  </cols>
  <sheetData>
    <row r="1" spans="1:2" ht="18.5" x14ac:dyDescent="0.45">
      <c r="A1" s="1" t="s">
        <v>14</v>
      </c>
    </row>
    <row r="3" spans="1:2" ht="15.5" x14ac:dyDescent="0.35">
      <c r="A3" s="2" t="s">
        <v>1</v>
      </c>
      <c r="B3" s="2" t="s">
        <v>15</v>
      </c>
    </row>
    <row r="4" spans="1:2" x14ac:dyDescent="0.35">
      <c r="A4" s="3" t="s">
        <v>16</v>
      </c>
      <c r="B4" s="3">
        <v>6</v>
      </c>
    </row>
    <row r="5" spans="1:2" x14ac:dyDescent="0.35">
      <c r="A5" s="3" t="s">
        <v>17</v>
      </c>
      <c r="B5" s="3">
        <v>1</v>
      </c>
    </row>
    <row r="6" spans="1:2" x14ac:dyDescent="0.35">
      <c r="A6" s="3" t="s">
        <v>18</v>
      </c>
      <c r="B6" s="3">
        <v>6</v>
      </c>
    </row>
    <row r="7" spans="1:2" x14ac:dyDescent="0.35">
      <c r="A7" s="3" t="s">
        <v>19</v>
      </c>
      <c r="B7" s="3">
        <v>6</v>
      </c>
    </row>
    <row r="8" spans="1:2" x14ac:dyDescent="0.35">
      <c r="A8" s="3" t="s">
        <v>20</v>
      </c>
      <c r="B8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="72" workbookViewId="0">
      <selection sqref="A1:C1"/>
    </sheetView>
  </sheetViews>
  <sheetFormatPr defaultRowHeight="14.5" x14ac:dyDescent="0.35"/>
  <cols>
    <col min="1" max="1" width="34.7265625" style="11" bestFit="1" customWidth="1"/>
    <col min="2" max="2" width="27" style="11" bestFit="1" customWidth="1"/>
    <col min="3" max="3" width="5.81640625" style="11" bestFit="1" customWidth="1"/>
    <col min="4" max="4" width="8.7265625" style="11"/>
    <col min="5" max="5" width="31.08984375" style="11" customWidth="1"/>
    <col min="6" max="6" width="35" style="11" customWidth="1"/>
    <col min="7" max="7" width="20.1796875" style="11" customWidth="1"/>
    <col min="8" max="8" width="27.1796875" style="11" customWidth="1"/>
    <col min="9" max="16384" width="8.7265625" style="11"/>
  </cols>
  <sheetData>
    <row r="1" spans="1:9" customFormat="1" ht="18.5" x14ac:dyDescent="0.45">
      <c r="A1" s="26" t="s">
        <v>21</v>
      </c>
      <c r="B1" s="26"/>
      <c r="C1" s="26"/>
      <c r="D1" s="11"/>
      <c r="E1" s="24" t="s">
        <v>108</v>
      </c>
      <c r="F1" s="24"/>
      <c r="G1" s="24"/>
      <c r="H1" s="25" t="str">
        <f>C11+H11 &amp; " Hours"</f>
        <v>80.53 Hours</v>
      </c>
    </row>
    <row r="2" spans="1:9" customFormat="1" x14ac:dyDescent="0.35"/>
    <row r="3" spans="1:9" customFormat="1" x14ac:dyDescent="0.35">
      <c r="A3" s="9" t="s">
        <v>22</v>
      </c>
      <c r="B3" s="9" t="s">
        <v>23</v>
      </c>
      <c r="C3" s="9" t="s">
        <v>24</v>
      </c>
      <c r="E3" s="19" t="s">
        <v>93</v>
      </c>
      <c r="F3" s="19" t="s">
        <v>94</v>
      </c>
      <c r="G3" s="19" t="s">
        <v>95</v>
      </c>
      <c r="H3" s="19" t="s">
        <v>96</v>
      </c>
    </row>
    <row r="4" spans="1:9" customFormat="1" ht="29" x14ac:dyDescent="0.35">
      <c r="A4" s="10" t="s">
        <v>52</v>
      </c>
      <c r="B4" s="10" t="s">
        <v>53</v>
      </c>
      <c r="C4" s="10">
        <v>6</v>
      </c>
      <c r="E4" s="18" t="s">
        <v>97</v>
      </c>
      <c r="F4" s="18" t="s">
        <v>98</v>
      </c>
      <c r="G4" s="21">
        <v>45992</v>
      </c>
      <c r="H4" s="18" t="s">
        <v>99</v>
      </c>
    </row>
    <row r="5" spans="1:9" customFormat="1" ht="58" x14ac:dyDescent="0.35">
      <c r="A5" s="10" t="s">
        <v>54</v>
      </c>
      <c r="B5" s="10" t="s">
        <v>55</v>
      </c>
      <c r="C5" s="10">
        <v>12</v>
      </c>
      <c r="E5" s="18" t="s">
        <v>100</v>
      </c>
      <c r="F5" s="18" t="s">
        <v>98</v>
      </c>
      <c r="G5" s="21">
        <v>45901</v>
      </c>
      <c r="H5" s="18" t="s">
        <v>101</v>
      </c>
    </row>
    <row r="6" spans="1:9" customFormat="1" ht="43.5" x14ac:dyDescent="0.35">
      <c r="A6" s="10" t="s">
        <v>56</v>
      </c>
      <c r="B6" s="10" t="s">
        <v>57</v>
      </c>
      <c r="C6" s="10">
        <v>10</v>
      </c>
      <c r="E6" s="18" t="s">
        <v>102</v>
      </c>
      <c r="F6" s="18" t="s">
        <v>98</v>
      </c>
      <c r="G6" s="21">
        <v>45931</v>
      </c>
      <c r="H6" s="18" t="s">
        <v>103</v>
      </c>
    </row>
    <row r="7" spans="1:9" customFormat="1" ht="43.5" x14ac:dyDescent="0.35">
      <c r="A7" s="10" t="s">
        <v>58</v>
      </c>
      <c r="B7" s="10" t="s">
        <v>59</v>
      </c>
      <c r="C7" s="10">
        <v>6</v>
      </c>
      <c r="E7" s="11"/>
      <c r="F7" s="11"/>
      <c r="G7" s="11"/>
      <c r="H7" s="11"/>
    </row>
    <row r="8" spans="1:9" customFormat="1" ht="43.5" x14ac:dyDescent="0.35">
      <c r="A8" s="10" t="s">
        <v>60</v>
      </c>
      <c r="B8" s="10" t="s">
        <v>61</v>
      </c>
      <c r="C8" s="10">
        <v>8</v>
      </c>
      <c r="E8" s="9" t="s">
        <v>22</v>
      </c>
      <c r="F8" s="9" t="s">
        <v>85</v>
      </c>
      <c r="G8" s="9" t="s">
        <v>86</v>
      </c>
      <c r="H8" s="9" t="s">
        <v>104</v>
      </c>
      <c r="I8" s="11"/>
    </row>
    <row r="9" spans="1:9" customFormat="1" ht="43.5" x14ac:dyDescent="0.35">
      <c r="A9" s="10" t="s">
        <v>62</v>
      </c>
      <c r="B9" s="10" t="s">
        <v>63</v>
      </c>
      <c r="C9" s="10">
        <v>5</v>
      </c>
      <c r="E9" s="10" t="s">
        <v>87</v>
      </c>
      <c r="F9" s="10" t="s">
        <v>89</v>
      </c>
      <c r="G9" s="10" t="s">
        <v>91</v>
      </c>
      <c r="H9" s="10" t="s">
        <v>105</v>
      </c>
      <c r="I9" s="11"/>
    </row>
    <row r="10" spans="1:9" customFormat="1" ht="43.5" x14ac:dyDescent="0.35">
      <c r="A10" s="10" t="s">
        <v>64</v>
      </c>
      <c r="B10" s="10" t="s">
        <v>65</v>
      </c>
      <c r="C10" s="10">
        <v>6.53</v>
      </c>
      <c r="E10" s="10" t="s">
        <v>88</v>
      </c>
      <c r="F10" s="10" t="s">
        <v>90</v>
      </c>
      <c r="G10" s="10" t="s">
        <v>92</v>
      </c>
      <c r="H10" s="10" t="s">
        <v>106</v>
      </c>
      <c r="I10" s="11"/>
    </row>
    <row r="11" spans="1:9" x14ac:dyDescent="0.35">
      <c r="A11" s="22" t="s">
        <v>66</v>
      </c>
      <c r="B11" s="22"/>
      <c r="C11" s="22">
        <f>SUM(C4:C10)</f>
        <v>53.53</v>
      </c>
      <c r="E11" s="23" t="s">
        <v>107</v>
      </c>
      <c r="F11" s="23"/>
      <c r="G11" s="23"/>
      <c r="H11" s="23">
        <v>27</v>
      </c>
    </row>
    <row r="12" spans="1:9" x14ac:dyDescent="0.35">
      <c r="A12" s="22"/>
      <c r="B12" s="22"/>
      <c r="C12" s="22"/>
      <c r="E12" s="23"/>
      <c r="F12" s="23"/>
      <c r="G12" s="23"/>
      <c r="H12" s="23"/>
    </row>
  </sheetData>
  <mergeCells count="6">
    <mergeCell ref="E1:G1"/>
    <mergeCell ref="A1:C1"/>
    <mergeCell ref="A11:B12"/>
    <mergeCell ref="C11:C12"/>
    <mergeCell ref="E11:G12"/>
    <mergeCell ref="H11:H12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opLeftCell="A3" workbookViewId="0">
      <selection activeCell="A5" sqref="A5"/>
    </sheetView>
  </sheetViews>
  <sheetFormatPr defaultRowHeight="14.5" x14ac:dyDescent="0.35"/>
  <cols>
    <col min="1" max="1" width="30" customWidth="1"/>
    <col min="2" max="2" width="74.81640625" customWidth="1"/>
  </cols>
  <sheetData>
    <row r="1" spans="1:2" ht="18.5" x14ac:dyDescent="0.45">
      <c r="A1" s="1" t="s">
        <v>25</v>
      </c>
    </row>
    <row r="3" spans="1:2" ht="15.5" x14ac:dyDescent="0.35">
      <c r="A3" s="2" t="s">
        <v>26</v>
      </c>
      <c r="B3" s="2" t="s">
        <v>27</v>
      </c>
    </row>
    <row r="4" spans="1:2" ht="58" x14ac:dyDescent="0.35">
      <c r="A4" s="3" t="s">
        <v>28</v>
      </c>
      <c r="B4" s="12" t="s">
        <v>67</v>
      </c>
    </row>
    <row r="5" spans="1:2" ht="43.5" x14ac:dyDescent="0.35">
      <c r="A5" s="3" t="s">
        <v>29</v>
      </c>
      <c r="B5" s="12" t="s">
        <v>68</v>
      </c>
    </row>
    <row r="6" spans="1:2" ht="43.5" x14ac:dyDescent="0.35">
      <c r="A6" s="3" t="s">
        <v>30</v>
      </c>
      <c r="B6" s="12" t="s">
        <v>69</v>
      </c>
    </row>
    <row r="7" spans="1:2" ht="43.5" x14ac:dyDescent="0.35">
      <c r="A7" s="3" t="s">
        <v>31</v>
      </c>
      <c r="B7" s="12" t="s">
        <v>70</v>
      </c>
    </row>
    <row r="8" spans="1:2" ht="58" x14ac:dyDescent="0.35">
      <c r="A8" s="3" t="s">
        <v>32</v>
      </c>
      <c r="B8" s="12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79E0-82D0-4514-BC8C-2FCF85F2AA72}">
  <dimension ref="A1:D17"/>
  <sheetViews>
    <sheetView workbookViewId="0">
      <selection activeCell="E11" sqref="E11"/>
    </sheetView>
  </sheetViews>
  <sheetFormatPr defaultRowHeight="14.5" x14ac:dyDescent="0.35"/>
  <cols>
    <col min="1" max="1" width="35" customWidth="1"/>
    <col min="2" max="2" width="26.08984375" customWidth="1"/>
    <col min="3" max="3" width="28.453125" customWidth="1"/>
  </cols>
  <sheetData>
    <row r="1" spans="1:4" ht="18.5" x14ac:dyDescent="0.45">
      <c r="A1" s="16" t="s">
        <v>75</v>
      </c>
    </row>
    <row r="3" spans="1:4" x14ac:dyDescent="0.35">
      <c r="A3" s="17" t="s">
        <v>76</v>
      </c>
      <c r="B3" s="17" t="s">
        <v>83</v>
      </c>
      <c r="C3" s="17" t="s">
        <v>84</v>
      </c>
      <c r="D3" s="20">
        <v>2025</v>
      </c>
    </row>
    <row r="4" spans="1:4" x14ac:dyDescent="0.35">
      <c r="A4" s="18" t="s">
        <v>77</v>
      </c>
      <c r="B4" s="18">
        <v>15</v>
      </c>
      <c r="C4" s="18">
        <v>6</v>
      </c>
      <c r="D4" s="20"/>
    </row>
    <row r="5" spans="1:4" x14ac:dyDescent="0.35">
      <c r="A5" s="18" t="s">
        <v>78</v>
      </c>
      <c r="B5" s="18">
        <v>3.5</v>
      </c>
      <c r="C5" s="18">
        <v>4.5</v>
      </c>
      <c r="D5" s="20"/>
    </row>
    <row r="6" spans="1:4" x14ac:dyDescent="0.35">
      <c r="A6" s="18" t="s">
        <v>79</v>
      </c>
      <c r="B6" s="18">
        <v>3.5</v>
      </c>
      <c r="C6" s="18">
        <v>4.5</v>
      </c>
      <c r="D6" s="20"/>
    </row>
    <row r="7" spans="1:4" x14ac:dyDescent="0.35">
      <c r="A7" s="18" t="s">
        <v>80</v>
      </c>
      <c r="B7" s="18">
        <v>2</v>
      </c>
      <c r="C7" s="18">
        <v>2</v>
      </c>
      <c r="D7" s="20"/>
    </row>
    <row r="8" spans="1:4" x14ac:dyDescent="0.35">
      <c r="A8" s="18" t="s">
        <v>81</v>
      </c>
      <c r="B8" s="18">
        <v>1</v>
      </c>
      <c r="C8" s="18">
        <v>1</v>
      </c>
      <c r="D8" s="20"/>
    </row>
    <row r="9" spans="1:4" x14ac:dyDescent="0.35">
      <c r="A9" s="19" t="s">
        <v>82</v>
      </c>
      <c r="B9" s="19" t="str">
        <f>SUM(B4:B8)&amp;" Days"</f>
        <v>25 Days</v>
      </c>
      <c r="C9" s="19" t="str">
        <f>SUM(C4:C8)&amp;" Days"</f>
        <v>18 Days</v>
      </c>
      <c r="D9" s="20"/>
    </row>
    <row r="11" spans="1:4" x14ac:dyDescent="0.35">
      <c r="A11" s="17" t="s">
        <v>76</v>
      </c>
      <c r="B11" s="17" t="s">
        <v>83</v>
      </c>
      <c r="C11" s="17" t="s">
        <v>84</v>
      </c>
      <c r="D11" s="20">
        <v>2025</v>
      </c>
    </row>
    <row r="12" spans="1:4" x14ac:dyDescent="0.35">
      <c r="A12" s="18" t="s">
        <v>77</v>
      </c>
      <c r="B12" s="18">
        <v>20</v>
      </c>
      <c r="C12" s="18">
        <v>4</v>
      </c>
      <c r="D12" s="20"/>
    </row>
    <row r="13" spans="1:4" x14ac:dyDescent="0.35">
      <c r="A13" s="18" t="s">
        <v>78</v>
      </c>
      <c r="B13" s="18">
        <v>6</v>
      </c>
      <c r="C13" s="18">
        <v>0</v>
      </c>
      <c r="D13" s="20"/>
    </row>
    <row r="14" spans="1:4" x14ac:dyDescent="0.35">
      <c r="A14" s="18" t="s">
        <v>79</v>
      </c>
      <c r="B14" s="18">
        <v>6</v>
      </c>
      <c r="C14" s="18">
        <v>4</v>
      </c>
      <c r="D14" s="20"/>
    </row>
    <row r="15" spans="1:4" x14ac:dyDescent="0.35">
      <c r="A15" s="18" t="s">
        <v>80</v>
      </c>
      <c r="B15" s="18">
        <v>2</v>
      </c>
      <c r="C15" s="18">
        <v>0</v>
      </c>
      <c r="D15" s="20"/>
    </row>
    <row r="16" spans="1:4" x14ac:dyDescent="0.35">
      <c r="A16" s="18" t="s">
        <v>81</v>
      </c>
      <c r="B16" s="18">
        <v>1</v>
      </c>
      <c r="C16" s="18">
        <v>0</v>
      </c>
      <c r="D16" s="20"/>
    </row>
    <row r="17" spans="1:4" x14ac:dyDescent="0.35">
      <c r="A17" s="19" t="s">
        <v>82</v>
      </c>
      <c r="B17" s="19" t="str">
        <f>SUM(B12:B16)&amp;" Days"</f>
        <v>35 Days</v>
      </c>
      <c r="C17" s="19" t="str">
        <f>SUM(C12:C16)&amp;" Days"</f>
        <v>8 Days</v>
      </c>
      <c r="D17" s="20"/>
    </row>
  </sheetData>
  <mergeCells count="2">
    <mergeCell ref="D3:D9"/>
    <mergeCell ref="D11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Closures Summary</vt:lpstr>
      <vt:lpstr>Candidate Closures</vt:lpstr>
      <vt:lpstr>Onboarding Impact</vt:lpstr>
      <vt:lpstr>Learning Hours</vt:lpstr>
      <vt:lpstr>Behavioral Contribution</vt:lpstr>
      <vt:lpstr>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Masum Gazi</cp:lastModifiedBy>
  <dcterms:created xsi:type="dcterms:W3CDTF">2026-03-10T06:31:46Z</dcterms:created>
  <dcterms:modified xsi:type="dcterms:W3CDTF">2026-03-10T07:20:44Z</dcterms:modified>
</cp:coreProperties>
</file>